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.mejia.fernandez\Downloads\"/>
    </mc:Choice>
  </mc:AlternateContent>
  <xr:revisionPtr revIDLastSave="0" documentId="13_ncr:1_{79CABC8C-82E6-40D2-9F47-52181407CDB3}" xr6:coauthVersionLast="47" xr6:coauthVersionMax="47" xr10:uidLastSave="{00000000-0000-0000-0000-000000000000}"/>
  <bookViews>
    <workbookView xWindow="-110" yWindow="-110" windowWidth="19420" windowHeight="10300" xr2:uid="{123630FB-2428-4A73-8DB6-0777A7E528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</calcChain>
</file>

<file path=xl/sharedStrings.xml><?xml version="1.0" encoding="utf-8"?>
<sst xmlns="http://schemas.openxmlformats.org/spreadsheetml/2006/main" count="210" uniqueCount="113">
  <si>
    <t>Id</t>
  </si>
  <si>
    <t>Title</t>
  </si>
  <si>
    <t>Bloque</t>
  </si>
  <si>
    <t>Ejes</t>
  </si>
  <si>
    <t>Descripción</t>
  </si>
  <si>
    <t>Status</t>
  </si>
  <si>
    <t>Impacto(€)</t>
  </si>
  <si>
    <t>Impactopotencial(€)</t>
  </si>
  <si>
    <t>Avances</t>
  </si>
  <si>
    <t>Próximospasos</t>
  </si>
  <si>
    <t>Porcentajedeavance</t>
  </si>
  <si>
    <t>ResponsableId</t>
  </si>
  <si>
    <t>ResponsableStringId</t>
  </si>
  <si>
    <t>Fechainicio</t>
  </si>
  <si>
    <t>Unidaddeservicioresponsable</t>
  </si>
  <si>
    <t>DirecciónGeneral(DG_</t>
  </si>
  <si>
    <t>Negocios</t>
  </si>
  <si>
    <t>Confidencial</t>
  </si>
  <si>
    <t>EficienciaEstimada2024</t>
  </si>
  <si>
    <t>EficienciaAlcanzada2024</t>
  </si>
  <si>
    <t>EficienciaEstimada2025</t>
  </si>
  <si>
    <t>EficienciaAlcanzada2025</t>
  </si>
  <si>
    <t>Fechafin</t>
  </si>
  <si>
    <t>Fecha_inicio_utc</t>
  </si>
  <si>
    <t>Fecha_fin_utc</t>
  </si>
  <si>
    <t>Año_ini</t>
  </si>
  <si>
    <t>Modified</t>
  </si>
  <si>
    <t>Responsable</t>
  </si>
  <si>
    <t>OData_ÁreaResponsable</t>
  </si>
  <si>
    <t>LideradoOrganización</t>
  </si>
  <si>
    <t>TipoDeIniciativa</t>
  </si>
  <si>
    <t>SponsorId</t>
  </si>
  <si>
    <t>SponsorStringId</t>
  </si>
  <si>
    <t>Programa</t>
  </si>
  <si>
    <t>FinEstimado</t>
  </si>
  <si>
    <t>Estrategica</t>
  </si>
  <si>
    <t>Programas</t>
  </si>
  <si>
    <t/>
  </si>
  <si>
    <t>Perímetro</t>
  </si>
  <si>
    <t>Escalado de servicios actuales</t>
  </si>
  <si>
    <t>Finalizado</t>
  </si>
  <si>
    <t>• Estabilización inicial del servicio.</t>
  </si>
  <si>
    <t>100</t>
  </si>
  <si>
    <t>24</t>
  </si>
  <si>
    <t>No</t>
  </si>
  <si>
    <t>Sí</t>
  </si>
  <si>
    <t>En curso según plan</t>
  </si>
  <si>
    <t>50</t>
  </si>
  <si>
    <t>16</t>
  </si>
  <si>
    <t>-</t>
  </si>
  <si>
    <t>Agilidad_x000D_
Eficiencia_x000D_
Calidad</t>
  </si>
  <si>
    <t>Eficiencia_x000D_
Agilidad_x000D_
Calidad</t>
  </si>
  <si>
    <t>Automatización y optimización</t>
  </si>
  <si>
    <t>80</t>
  </si>
  <si>
    <t>Modelo Operativo</t>
  </si>
  <si>
    <t>Seguir con la ruta de extensión del modelo. Pasar a fase de mantenimiento atendiendo necesidades de forma proactiva.</t>
  </si>
  <si>
    <t>73</t>
  </si>
  <si>
    <t>Extensión GP (arquit. + espacios trabajo): Complejos Industriales.</t>
  </si>
  <si>
    <t>Remodelación oficinas</t>
  </si>
  <si>
    <t>Automatización proceso workplace</t>
  </si>
  <si>
    <t>Extensión Spain</t>
  </si>
  <si>
    <t>Reubicación Portugal</t>
  </si>
  <si>
    <t>Redefinición marketing</t>
  </si>
  <si>
    <t>Mejora continua y automatización</t>
  </si>
  <si>
    <t>Remodelación oficina central.</t>
  </si>
  <si>
    <t>Optimización espacios.</t>
  </si>
  <si>
    <t>Extender el territorio.</t>
  </si>
  <si>
    <t>Trasladar oficinas de A a B.</t>
  </si>
  <si>
    <t>Nueva campaña de marketing alineada con los valores de la empresa.</t>
  </si>
  <si>
    <t>Extender el espacio de los complejos industriales en Tarragona.</t>
  </si>
  <si>
    <t>Equipo Asignado</t>
  </si>
  <si>
    <t>Gabriela</t>
  </si>
  <si>
    <t>Miguel</t>
  </si>
  <si>
    <t>Iker</t>
  </si>
  <si>
    <t>Arturo</t>
  </si>
  <si>
    <t>José</t>
  </si>
  <si>
    <t>Blanca</t>
  </si>
  <si>
    <t>Presupuesto(€)</t>
  </si>
  <si>
    <t>• Realizado análisis detallado de procesos de las actividades.
• Iniciada la prestación del servicio el 03/05.</t>
  </si>
  <si>
    <t>• Asumida la actividad de gestión.
• Se retrasa la implantación hasta 1 octubre.
• Realizado el análisis de necesidades de FTE para atender la nueva actividad.
Pendiente de decisión de organización .</t>
  </si>
  <si>
    <t>• Iniciadas las reuniones con la gestora xxx para recabar información de detalle de la actividad.
• Realizado el análisis de necesidades de FTE para atender la nueva actividad.</t>
  </si>
  <si>
    <t xml:space="preserve">• Realizado el análisis de necesidades de FTE para atender la nueva actividad
</t>
  </si>
  <si>
    <t>• 100% implantado en producción
•Automatización: 100% implantado de los procesos no descartados</t>
  </si>
  <si>
    <t>• Presupuesto aprobado</t>
  </si>
  <si>
    <t>Se está analizando la actividad.</t>
  </si>
  <si>
    <t>Pendiente que el negocio pase: 
volumetrias y se proceda al traspaso.</t>
  </si>
  <si>
    <t>Alineamiento con la Propuesta de Valor</t>
  </si>
  <si>
    <t>SERVICIOS GENERALES</t>
  </si>
  <si>
    <t>DG1</t>
  </si>
  <si>
    <t>DG2</t>
  </si>
  <si>
    <t>DG3</t>
  </si>
  <si>
    <t>DG4</t>
  </si>
  <si>
    <t>DG5</t>
  </si>
  <si>
    <t>DG6</t>
  </si>
  <si>
    <t>Si</t>
  </si>
  <si>
    <t>Marketing</t>
  </si>
  <si>
    <t>Finanzas</t>
  </si>
  <si>
    <t>Produccion</t>
  </si>
  <si>
    <t>Automatización</t>
  </si>
  <si>
    <t>Data</t>
  </si>
  <si>
    <t>DG ECO-AA1</t>
  </si>
  <si>
    <t>DG PROS-AA2</t>
  </si>
  <si>
    <t>DG DATA-AA3</t>
  </si>
  <si>
    <t>DG FIN-AA4</t>
  </si>
  <si>
    <t>DG CONT-AA5</t>
  </si>
  <si>
    <t>DG AUDIT-AA6</t>
  </si>
  <si>
    <t>Mejora</t>
  </si>
  <si>
    <t>Impacto ec</t>
  </si>
  <si>
    <t>Procesos</t>
  </si>
  <si>
    <t>Tiempos</t>
  </si>
  <si>
    <t>Reducción de personal</t>
  </si>
  <si>
    <t>Optimización</t>
  </si>
  <si>
    <t>Pendiente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</si>
</sst>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&quot;€&quot;\ #,##0;\-&quot;€&quot;\ #,##0;&quot;€&quot;\ #,##0"/>
    <numFmt numFmtId="167" formatCode="\$#,##0.###############;\(\$#,##0.###############\);\$#,##0.###############"/>
    <numFmt numFmtId="168" formatCode="mmm\-yyyy"/>
  </numFmts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4" fontId="1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/>
    <xf numFmtId="168" fontId="1" fillId="0" borderId="0" xfId="0" applyNumberFormat="1" applyFont="1"/>
    <xf numFmtId="1" fontId="1" fillId="0" borderId="0" xfId="0" applyNumberFormat="1" applyFont="1"/>
    <xf numFmtId="22" fontId="1" fillId="0" borderId="0" xfId="0" applyNumberFormat="1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C99AF-13C5-420A-94D6-5DB040C3BC18}">
  <dimension ref="A1:AN7"/>
  <sheetViews>
    <sheetView tabSelected="1" topLeftCell="C1" zoomScale="60" zoomScaleNormal="60" workbookViewId="0">
      <selection activeCell="E12" sqref="E12"/>
    </sheetView>
  </sheetViews>
  <sheetFormatPr defaultRowHeight="14.5" x14ac:dyDescent="0.35"/>
  <cols>
    <col min="2" max="2" width="45.1796875" customWidth="1"/>
    <col min="3" max="3" width="14.08984375" customWidth="1"/>
    <col min="4" max="4" width="34.54296875" bestFit="1" customWidth="1"/>
    <col min="5" max="5" width="59.6328125" bestFit="1" customWidth="1"/>
    <col min="7" max="7" width="10.1796875" bestFit="1" customWidth="1"/>
    <col min="8" max="8" width="17.7265625" bestFit="1" customWidth="1"/>
    <col min="10" max="10" width="13.54296875" bestFit="1" customWidth="1"/>
    <col min="11" max="11" width="82.6328125" customWidth="1"/>
    <col min="12" max="12" width="34.36328125" customWidth="1"/>
    <col min="13" max="13" width="42.54296875" customWidth="1"/>
    <col min="17" max="17" width="11" bestFit="1" customWidth="1"/>
    <col min="25" max="25" width="8.7265625" customWidth="1"/>
    <col min="26" max="26" width="22.6328125" customWidth="1"/>
    <col min="30" max="30" width="21.7265625" customWidth="1"/>
    <col min="31" max="31" width="27.81640625" bestFit="1" customWidth="1"/>
    <col min="32" max="32" width="21.90625" bestFit="1" customWidth="1"/>
    <col min="38" max="38" width="11.26953125" bestFit="1" customWidth="1"/>
  </cols>
  <sheetData>
    <row r="1" spans="1:4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70</v>
      </c>
      <c r="J1" s="1" t="s">
        <v>77</v>
      </c>
      <c r="K1" s="1" t="s">
        <v>8</v>
      </c>
      <c r="L1" s="1" t="s">
        <v>9</v>
      </c>
      <c r="M1" s="1" t="s">
        <v>86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</row>
    <row r="2" spans="1:40" ht="29" x14ac:dyDescent="0.35">
      <c r="A2" s="1">
        <v>1</v>
      </c>
      <c r="B2" s="1" t="s">
        <v>58</v>
      </c>
      <c r="C2" s="1" t="s">
        <v>38</v>
      </c>
      <c r="D2" s="1" t="s">
        <v>39</v>
      </c>
      <c r="E2" s="1" t="s">
        <v>64</v>
      </c>
      <c r="F2" s="1" t="s">
        <v>40</v>
      </c>
      <c r="G2" s="1">
        <v>10000</v>
      </c>
      <c r="H2" s="1">
        <v>5000</v>
      </c>
      <c r="I2" s="1" t="s">
        <v>71</v>
      </c>
      <c r="J2" s="1">
        <v>10000</v>
      </c>
      <c r="K2" s="8" t="s">
        <v>78</v>
      </c>
      <c r="L2" s="1" t="s">
        <v>41</v>
      </c>
      <c r="M2" s="1" t="s">
        <v>52</v>
      </c>
      <c r="N2" s="1" t="s">
        <v>42</v>
      </c>
      <c r="O2" s="1" t="s">
        <v>43</v>
      </c>
      <c r="P2" s="1" t="s">
        <v>43</v>
      </c>
      <c r="Q2" s="2">
        <v>46022.958333333336</v>
      </c>
      <c r="R2" s="1" t="s">
        <v>87</v>
      </c>
      <c r="S2" s="1" t="s">
        <v>88</v>
      </c>
      <c r="T2" s="1" t="s">
        <v>95</v>
      </c>
      <c r="U2" s="1" t="s">
        <v>44</v>
      </c>
      <c r="V2" s="3">
        <v>0</v>
      </c>
      <c r="W2" s="3">
        <v>0</v>
      </c>
      <c r="X2" s="3">
        <v>0</v>
      </c>
      <c r="Y2" s="4">
        <v>0</v>
      </c>
      <c r="Z2" s="5">
        <v>46202.916666666664</v>
      </c>
      <c r="AA2" s="5">
        <v>46023</v>
      </c>
      <c r="AB2" s="5" t="s">
        <v>37</v>
      </c>
      <c r="AC2" s="6">
        <v>2023</v>
      </c>
      <c r="AD2" s="7">
        <v>45586.351493055554</v>
      </c>
      <c r="AE2" s="1" t="s">
        <v>71</v>
      </c>
      <c r="AF2" s="1" t="s">
        <v>100</v>
      </c>
      <c r="AG2" s="1" t="s">
        <v>44</v>
      </c>
      <c r="AH2" s="1" t="s">
        <v>106</v>
      </c>
      <c r="AI2" s="1" t="s">
        <v>37</v>
      </c>
      <c r="AJ2" s="1" t="s">
        <v>37</v>
      </c>
      <c r="AK2" s="1" t="s">
        <v>37</v>
      </c>
      <c r="AL2" s="2">
        <v>46022.958333333336</v>
      </c>
      <c r="AM2" s="1" t="s">
        <v>45</v>
      </c>
      <c r="AN2" s="1" t="s">
        <v>37</v>
      </c>
    </row>
    <row r="3" spans="1:40" ht="58" x14ac:dyDescent="0.35">
      <c r="A3" s="1">
        <f>+A2+1</f>
        <v>2</v>
      </c>
      <c r="B3" s="1" t="s">
        <v>59</v>
      </c>
      <c r="C3" s="1" t="s">
        <v>54</v>
      </c>
      <c r="D3" s="1" t="s">
        <v>63</v>
      </c>
      <c r="E3" s="1" t="s">
        <v>65</v>
      </c>
      <c r="F3" s="1" t="s">
        <v>46</v>
      </c>
      <c r="G3" s="1">
        <v>280000</v>
      </c>
      <c r="H3" s="1">
        <v>5000</v>
      </c>
      <c r="I3" s="1" t="s">
        <v>72</v>
      </c>
      <c r="J3" s="1">
        <v>10000</v>
      </c>
      <c r="K3" s="8" t="s">
        <v>79</v>
      </c>
      <c r="L3" s="1" t="s">
        <v>84</v>
      </c>
      <c r="M3" s="1" t="s">
        <v>52</v>
      </c>
      <c r="N3" s="1" t="s">
        <v>47</v>
      </c>
      <c r="O3" s="1" t="s">
        <v>48</v>
      </c>
      <c r="P3" s="1" t="s">
        <v>48</v>
      </c>
      <c r="Q3" s="2">
        <v>46023</v>
      </c>
      <c r="R3" s="1" t="s">
        <v>87</v>
      </c>
      <c r="S3" s="1" t="s">
        <v>89</v>
      </c>
      <c r="T3" s="1" t="s">
        <v>96</v>
      </c>
      <c r="U3" s="1" t="s">
        <v>94</v>
      </c>
      <c r="V3" s="3">
        <v>0</v>
      </c>
      <c r="W3" s="3">
        <v>0</v>
      </c>
      <c r="X3" s="3">
        <v>0</v>
      </c>
      <c r="Y3" s="4">
        <v>0</v>
      </c>
      <c r="Z3" s="5">
        <v>46232</v>
      </c>
      <c r="AA3" s="5">
        <v>46054</v>
      </c>
      <c r="AB3" s="5" t="s">
        <v>37</v>
      </c>
      <c r="AC3" s="6">
        <v>2023</v>
      </c>
      <c r="AD3" s="7">
        <v>45512.413877314815</v>
      </c>
      <c r="AE3" s="1" t="s">
        <v>72</v>
      </c>
      <c r="AF3" s="1" t="s">
        <v>101</v>
      </c>
      <c r="AG3" s="1" t="s">
        <v>44</v>
      </c>
      <c r="AH3" s="1" t="s">
        <v>107</v>
      </c>
      <c r="AI3" s="1" t="s">
        <v>37</v>
      </c>
      <c r="AJ3" s="1" t="s">
        <v>37</v>
      </c>
      <c r="AK3" s="1" t="s">
        <v>37</v>
      </c>
      <c r="AL3" s="2">
        <v>46023</v>
      </c>
      <c r="AM3" s="1" t="s">
        <v>45</v>
      </c>
      <c r="AN3" s="1" t="s">
        <v>37</v>
      </c>
    </row>
    <row r="4" spans="1:40" ht="29" x14ac:dyDescent="0.35">
      <c r="A4" s="1">
        <f t="shared" ref="A4:A7" si="0">+A3+1</f>
        <v>3</v>
      </c>
      <c r="B4" s="1" t="s">
        <v>60</v>
      </c>
      <c r="C4" s="1" t="s">
        <v>54</v>
      </c>
      <c r="D4" s="1" t="s">
        <v>63</v>
      </c>
      <c r="E4" s="1" t="s">
        <v>66</v>
      </c>
      <c r="F4" s="1" t="s">
        <v>40</v>
      </c>
      <c r="G4" s="1">
        <v>500000</v>
      </c>
      <c r="H4" s="1">
        <v>5000</v>
      </c>
      <c r="I4" s="1" t="s">
        <v>73</v>
      </c>
      <c r="J4" s="1">
        <v>10000</v>
      </c>
      <c r="K4" s="8" t="s">
        <v>80</v>
      </c>
      <c r="L4" s="1" t="s">
        <v>49</v>
      </c>
      <c r="M4" s="1" t="s">
        <v>50</v>
      </c>
      <c r="N4" s="1" t="s">
        <v>42</v>
      </c>
      <c r="O4" s="1" t="s">
        <v>48</v>
      </c>
      <c r="P4" s="1" t="s">
        <v>48</v>
      </c>
      <c r="Q4" s="2">
        <v>46024</v>
      </c>
      <c r="R4" s="1" t="s">
        <v>87</v>
      </c>
      <c r="S4" s="1" t="s">
        <v>90</v>
      </c>
      <c r="T4" s="1" t="s">
        <v>97</v>
      </c>
      <c r="U4" s="1" t="s">
        <v>44</v>
      </c>
      <c r="V4" s="3">
        <v>0</v>
      </c>
      <c r="W4" s="3">
        <v>0</v>
      </c>
      <c r="X4" s="3">
        <v>0</v>
      </c>
      <c r="Y4" s="4">
        <v>0</v>
      </c>
      <c r="Z4" s="5">
        <v>46263</v>
      </c>
      <c r="AA4" s="5">
        <v>46082</v>
      </c>
      <c r="AB4" s="5" t="s">
        <v>37</v>
      </c>
      <c r="AC4" s="6">
        <v>2023</v>
      </c>
      <c r="AD4" s="7">
        <v>45512.413935185185</v>
      </c>
      <c r="AE4" s="1" t="s">
        <v>73</v>
      </c>
      <c r="AF4" s="1" t="s">
        <v>102</v>
      </c>
      <c r="AG4" s="1" t="s">
        <v>44</v>
      </c>
      <c r="AH4" s="1" t="s">
        <v>108</v>
      </c>
      <c r="AI4" s="1" t="s">
        <v>37</v>
      </c>
      <c r="AJ4" s="1" t="s">
        <v>37</v>
      </c>
      <c r="AK4" s="1" t="s">
        <v>37</v>
      </c>
      <c r="AL4" s="2">
        <v>46024</v>
      </c>
      <c r="AM4" s="1" t="s">
        <v>45</v>
      </c>
      <c r="AN4" s="1" t="s">
        <v>37</v>
      </c>
    </row>
    <row r="5" spans="1:40" ht="29" x14ac:dyDescent="0.35">
      <c r="A5" s="1">
        <f t="shared" si="0"/>
        <v>4</v>
      </c>
      <c r="B5" s="1" t="s">
        <v>61</v>
      </c>
      <c r="C5" s="1" t="s">
        <v>38</v>
      </c>
      <c r="D5" s="1" t="s">
        <v>63</v>
      </c>
      <c r="E5" s="1" t="s">
        <v>67</v>
      </c>
      <c r="F5" s="1" t="s">
        <v>112</v>
      </c>
      <c r="G5" s="1">
        <v>20000</v>
      </c>
      <c r="H5" s="1">
        <v>8000</v>
      </c>
      <c r="I5" s="1" t="s">
        <v>74</v>
      </c>
      <c r="J5" s="1">
        <v>10000</v>
      </c>
      <c r="K5" s="8" t="s">
        <v>81</v>
      </c>
      <c r="L5" s="1" t="s">
        <v>37</v>
      </c>
      <c r="M5" s="1" t="s">
        <v>51</v>
      </c>
      <c r="N5" s="1" t="s">
        <v>42</v>
      </c>
      <c r="O5" s="1" t="s">
        <v>48</v>
      </c>
      <c r="P5" s="1" t="s">
        <v>48</v>
      </c>
      <c r="Q5" s="2">
        <v>46025</v>
      </c>
      <c r="R5" s="1" t="s">
        <v>87</v>
      </c>
      <c r="S5" s="1" t="s">
        <v>91</v>
      </c>
      <c r="T5" s="1" t="s">
        <v>96</v>
      </c>
      <c r="U5" s="1" t="s">
        <v>44</v>
      </c>
      <c r="V5" s="3">
        <v>0</v>
      </c>
      <c r="W5" s="3">
        <v>0</v>
      </c>
      <c r="X5" s="3">
        <v>0</v>
      </c>
      <c r="Y5" s="4">
        <v>0</v>
      </c>
      <c r="Z5" s="5">
        <v>46294</v>
      </c>
      <c r="AA5" s="5">
        <v>46113</v>
      </c>
      <c r="AB5" s="5" t="s">
        <v>37</v>
      </c>
      <c r="AC5" s="6">
        <v>2023</v>
      </c>
      <c r="AD5" s="7">
        <v>45512.413935185185</v>
      </c>
      <c r="AE5" s="1" t="s">
        <v>74</v>
      </c>
      <c r="AF5" s="1" t="s">
        <v>103</v>
      </c>
      <c r="AG5" s="1" t="s">
        <v>37</v>
      </c>
      <c r="AH5" s="1" t="s">
        <v>109</v>
      </c>
      <c r="AI5" s="1" t="s">
        <v>37</v>
      </c>
      <c r="AJ5" s="1" t="s">
        <v>37</v>
      </c>
      <c r="AK5" s="1" t="s">
        <v>37</v>
      </c>
      <c r="AL5" s="2">
        <v>46025</v>
      </c>
      <c r="AM5" s="1" t="s">
        <v>45</v>
      </c>
      <c r="AN5" s="1" t="s">
        <v>37</v>
      </c>
    </row>
    <row r="6" spans="1:40" ht="29" x14ac:dyDescent="0.35">
      <c r="A6" s="1">
        <f t="shared" si="0"/>
        <v>5</v>
      </c>
      <c r="B6" s="1" t="s">
        <v>62</v>
      </c>
      <c r="C6" s="1" t="s">
        <v>38</v>
      </c>
      <c r="D6" s="1" t="s">
        <v>39</v>
      </c>
      <c r="E6" s="1" t="s">
        <v>68</v>
      </c>
      <c r="F6" s="1" t="s">
        <v>40</v>
      </c>
      <c r="G6" s="1">
        <v>799099</v>
      </c>
      <c r="H6" s="1">
        <v>5000</v>
      </c>
      <c r="I6" s="1" t="s">
        <v>75</v>
      </c>
      <c r="J6" s="1">
        <v>10000</v>
      </c>
      <c r="K6" s="1" t="s">
        <v>83</v>
      </c>
      <c r="L6" s="8" t="s">
        <v>85</v>
      </c>
      <c r="M6" s="1" t="s">
        <v>52</v>
      </c>
      <c r="N6" s="1" t="s">
        <v>53</v>
      </c>
      <c r="O6" s="1" t="s">
        <v>43</v>
      </c>
      <c r="P6" s="1" t="s">
        <v>43</v>
      </c>
      <c r="Q6" s="2">
        <v>46026</v>
      </c>
      <c r="R6" s="1" t="s">
        <v>87</v>
      </c>
      <c r="S6" s="1" t="s">
        <v>92</v>
      </c>
      <c r="T6" s="1" t="s">
        <v>98</v>
      </c>
      <c r="U6" s="1" t="s">
        <v>44</v>
      </c>
      <c r="V6" s="3">
        <v>0</v>
      </c>
      <c r="W6" s="3">
        <v>0</v>
      </c>
      <c r="X6" s="3">
        <v>0</v>
      </c>
      <c r="Y6" s="4">
        <v>0</v>
      </c>
      <c r="Z6" s="5">
        <v>46324</v>
      </c>
      <c r="AA6" s="5">
        <v>46143</v>
      </c>
      <c r="AB6" s="5" t="s">
        <v>37</v>
      </c>
      <c r="AC6" s="6">
        <v>2023</v>
      </c>
      <c r="AD6" s="7">
        <v>45575.654606481483</v>
      </c>
      <c r="AE6" s="1" t="s">
        <v>75</v>
      </c>
      <c r="AF6" s="1" t="s">
        <v>104</v>
      </c>
      <c r="AG6" s="1" t="s">
        <v>44</v>
      </c>
      <c r="AH6" s="1" t="s">
        <v>110</v>
      </c>
      <c r="AI6" s="1" t="s">
        <v>37</v>
      </c>
      <c r="AJ6" s="1" t="s">
        <v>37</v>
      </c>
      <c r="AK6" s="1" t="s">
        <v>37</v>
      </c>
      <c r="AL6" s="2">
        <v>46026</v>
      </c>
      <c r="AM6" s="1" t="s">
        <v>45</v>
      </c>
      <c r="AN6" s="1" t="s">
        <v>37</v>
      </c>
    </row>
    <row r="7" spans="1:40" ht="29" x14ac:dyDescent="0.35">
      <c r="A7" s="1">
        <f t="shared" si="0"/>
        <v>6</v>
      </c>
      <c r="B7" s="1" t="s">
        <v>57</v>
      </c>
      <c r="C7" s="1" t="s">
        <v>54</v>
      </c>
      <c r="D7" s="1" t="s">
        <v>63</v>
      </c>
      <c r="E7" s="1" t="s">
        <v>69</v>
      </c>
      <c r="F7" s="1" t="s">
        <v>112</v>
      </c>
      <c r="G7" s="1">
        <v>200000</v>
      </c>
      <c r="H7" s="1">
        <v>100000</v>
      </c>
      <c r="I7" s="1" t="s">
        <v>76</v>
      </c>
      <c r="J7" s="1">
        <v>10000</v>
      </c>
      <c r="K7" s="8" t="s">
        <v>82</v>
      </c>
      <c r="L7" s="1" t="s">
        <v>55</v>
      </c>
      <c r="M7" s="1" t="s">
        <v>52</v>
      </c>
      <c r="N7" s="1" t="s">
        <v>42</v>
      </c>
      <c r="O7" s="1" t="s">
        <v>56</v>
      </c>
      <c r="P7" s="1" t="s">
        <v>56</v>
      </c>
      <c r="Q7" s="2">
        <v>46027</v>
      </c>
      <c r="R7" s="1" t="s">
        <v>87</v>
      </c>
      <c r="S7" s="1" t="s">
        <v>93</v>
      </c>
      <c r="T7" s="1" t="s">
        <v>99</v>
      </c>
      <c r="U7" s="1" t="s">
        <v>44</v>
      </c>
      <c r="V7" s="3">
        <v>0</v>
      </c>
      <c r="W7" s="3">
        <v>0</v>
      </c>
      <c r="X7" s="3">
        <v>0</v>
      </c>
      <c r="Y7" s="4">
        <v>0</v>
      </c>
      <c r="Z7" s="5">
        <v>46355</v>
      </c>
      <c r="AA7" s="5">
        <v>46174</v>
      </c>
      <c r="AB7" s="5" t="s">
        <v>37</v>
      </c>
      <c r="AC7" s="6">
        <v>2023</v>
      </c>
      <c r="AD7" s="7">
        <v>45513.342997685184</v>
      </c>
      <c r="AE7" s="1" t="s">
        <v>76</v>
      </c>
      <c r="AF7" s="1" t="s">
        <v>105</v>
      </c>
      <c r="AG7" s="1" t="s">
        <v>44</v>
      </c>
      <c r="AH7" s="1" t="s">
        <v>111</v>
      </c>
      <c r="AI7" s="1" t="s">
        <v>37</v>
      </c>
      <c r="AJ7" s="1" t="s">
        <v>37</v>
      </c>
      <c r="AK7" s="1" t="s">
        <v>37</v>
      </c>
      <c r="AL7" s="2">
        <v>46027</v>
      </c>
      <c r="AM7" s="1" t="s">
        <v>45</v>
      </c>
      <c r="AN7" s="1" t="s">
        <v>37</v>
      </c>
    </row>
  </sheetData>
  <phoneticPr fontId="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fae8262-b78e-4366-8929-a5d6aac95320}" enabled="1" method="Standard" siteId="{cf36141c-ddd7-45a7-b073-111f66d0b30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Giselle Mejia Fernandez</dc:creator>
  <cp:lastModifiedBy>Gabriela Giselle Mejia Fernandez</cp:lastModifiedBy>
  <dcterms:created xsi:type="dcterms:W3CDTF">2026-01-18T20:34:04Z</dcterms:created>
  <dcterms:modified xsi:type="dcterms:W3CDTF">2026-01-18T22:23:55Z</dcterms:modified>
</cp:coreProperties>
</file>